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laa\Desktop\בריאות\"/>
    </mc:Choice>
  </mc:AlternateContent>
  <bookViews>
    <workbookView xWindow="0" yWindow="0" windowWidth="19200" windowHeight="719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D8" i="1" l="1"/>
  <c r="D6" i="1"/>
  <c r="D5" i="1"/>
  <c r="D2" i="1" l="1"/>
  <c r="D12" i="1"/>
  <c r="D10" i="1"/>
  <c r="D7" i="1"/>
  <c r="D13" i="1" l="1"/>
</calcChain>
</file>

<file path=xl/sharedStrings.xml><?xml version="1.0" encoding="utf-8"?>
<sst xmlns="http://schemas.openxmlformats.org/spreadsheetml/2006/main" count="77" uniqueCount="69">
  <si>
    <t>יעד</t>
  </si>
  <si>
    <t>פעולה</t>
  </si>
  <si>
    <t>תת פעולה</t>
  </si>
  <si>
    <t>מדד תפוקה</t>
  </si>
  <si>
    <t xml:space="preserve">מדד תוצאה </t>
  </si>
  <si>
    <t>תקציב חומש הבא (אלפי ש"ח)</t>
  </si>
  <si>
    <t>פירוט התקציב</t>
  </si>
  <si>
    <t>גורם מוביל</t>
  </si>
  <si>
    <t>גורמים שותפים</t>
  </si>
  <si>
    <t>הערות והמלצות</t>
  </si>
  <si>
    <t>הרחבת התשתיות הרפואיות בהפעלה ישירה</t>
  </si>
  <si>
    <t>הקמת מכוני רפואה יועצת</t>
  </si>
  <si>
    <t>3 מכונים בפריסה גיאוגרפית - צפון, דרום ומרכז.  (שכירויות או בינוי)</t>
  </si>
  <si>
    <t>מחיר שכירות למטר = 100 ש"ח
גודל מרפאה = 400 מ' 
עלות ציוד רפואי = 3,000,000
עלות כוח אדם = 5,000,000</t>
  </si>
  <si>
    <t>משרד הבריאות</t>
  </si>
  <si>
    <t>קופה"ח/עיריית ירושלים</t>
  </si>
  <si>
    <t>הוספת מג"ר ויחידות התפתחות ילד</t>
  </si>
  <si>
    <t>הקמת 3 מרכזים</t>
  </si>
  <si>
    <t>עלייה של 20% באיתור, אבחון וטיפול בילדים עם עיכוב התפתחותי</t>
  </si>
  <si>
    <t>הוספת תחנות טיפת חלב</t>
  </si>
  <si>
    <t>בניית 3 תחנות טיפת חלב חדשות</t>
  </si>
  <si>
    <t>שיפור איכות השירות</t>
  </si>
  <si>
    <t>הרחבת מודל הפעלה ישירה</t>
  </si>
  <si>
    <t>העברת מנהלי מרפאות להעסקה ישירה ע"י קופ"ח דרך מבחני תמיכה (אדמינסטרטיבי, רפואי, סיעודי ומזכירה)</t>
  </si>
  <si>
    <t>20% מהמרפאות יעסיקו  בכירים בהפעלה ישירה</t>
  </si>
  <si>
    <t>אדמינסטרבי - 15,000 רפואי - 28,000 סיעודי - 15,000
 * 7 מרפאות ל-5 שנים</t>
  </si>
  <si>
    <t>לפחות שתי קופות חולים בשנה יגשו למבחן תמיכה להעברת מרפאות להפעלה ישירה</t>
  </si>
  <si>
    <t>העברה של 10% מהרפאוצ מהפעלה זכיינית להפעלה ישירה .</t>
  </si>
  <si>
    <t>/</t>
  </si>
  <si>
    <t>הגדלת מספר הרופאים המומחים</t>
  </si>
  <si>
    <t>פיילוט להכשרה משלימה- הרחבת תוכנית ההכשרה של קופ"ח כללית ללימודי דיפלומה ברפואת משפחה</t>
  </si>
  <si>
    <t>העלאת רמת המקצועיות של רופאים כללים</t>
  </si>
  <si>
    <t>קופות חולים והאוניברסיטה העברית</t>
  </si>
  <si>
    <t>1,000,000 ש"ח לכל מתחמה</t>
  </si>
  <si>
    <t>הר"י</t>
  </si>
  <si>
    <t>התחייבות לעבודה במזרח העיר בתום ההתמחות</t>
  </si>
  <si>
    <t>הנגשה שפתית לערבית של כלל המידע  והשירותים הדיגיטלים ופיזיים של משרד הבריאות וקופות החולים</t>
  </si>
  <si>
    <t>דרישה של משרד הבריאות מכלל הגורמים לתרגם בצורה מלאה את המידע והשירותים והגברת הפיקוח והבקרה על נושא</t>
  </si>
  <si>
    <t>70,000 תושבים לכל הפחות ישתמשו באפליקציות ובאתרים בערבית ב-5 שנים</t>
  </si>
  <si>
    <t>עיריית ירושלים, קופה"ח</t>
  </si>
  <si>
    <t>עלות תרגום  = 1000000</t>
  </si>
  <si>
    <t>קמפיין העלאת מודעות - זכויות רפואיות ואורח חיים בריא</t>
  </si>
  <si>
    <t>יצירת תוכן דיגיטלי, שלטים, וקמפיינים לקידום בריאות</t>
  </si>
  <si>
    <t>הגדלת מספר התלונות  ב-20%; הגדלת מספר ההפניות ב-20%; הגדלת מספר הבדיקות ב-20%</t>
  </si>
  <si>
    <t>250,000 לכל שנה</t>
  </si>
  <si>
    <t>מרכז עטאא</t>
  </si>
  <si>
    <t>עיריית ירושלים, משרד הבריאות</t>
  </si>
  <si>
    <t>מנגנון הפעלה ויישום</t>
  </si>
  <si>
    <t>איסוף נתונים ומידע</t>
  </si>
  <si>
    <t>איסוף נתונים מקופה"ח על מצב התחלואה המזרח ירושלים</t>
  </si>
  <si>
    <t>ביצוע סקר על-ידי משרד הבריאות בשיתוף קופה"ח והמלב"מ</t>
  </si>
  <si>
    <t>פרסום הנתונים עד 6|23</t>
  </si>
  <si>
    <t>פרויקטור (ממונה על החלטת הממשלה)</t>
  </si>
  <si>
    <t>איסוף ועיבוד נתונים, בקרה על חוזים בין קופות וזכיינים,איחוד אופן העבודה בין קופות וזכיינים,הכנת  manual משכורות אחיד לעובדים</t>
  </si>
  <si>
    <t>יישום מלא של החלטת החומש</t>
  </si>
  <si>
    <t>20,000 - עלות מעביד חודשית * 12 חודשים * 5 שנים</t>
  </si>
  <si>
    <t>קופה"ח, עיריית ירושלים, משרד לענייני ירושלים</t>
  </si>
  <si>
    <r>
      <t>עלייה של 20% באיתור עיכוב התפתחות בקרב ילדים והפנייתם לגורמי טיפול רלוונטיים; עלייה של 20% באיתור וטיפול בבעיות רפואיות (סכרת, השמנה, בעיות נשים, ו</t>
    </r>
    <r>
      <rPr>
        <sz val="12"/>
        <color rgb="FFFF0000"/>
        <rFont val="David"/>
        <family val="2"/>
      </rPr>
      <t>שאר תחומי ליבה</t>
    </r>
    <r>
      <rPr>
        <sz val="12"/>
        <color rgb="FF000000"/>
        <rFont val="David"/>
        <family val="2"/>
      </rPr>
      <t xml:space="preserve">)  </t>
    </r>
  </si>
  <si>
    <r>
      <t>יישום מלא של CRM לקופה"ח;
הטמעת נהלי עבודה - מדדי איכות רפואיים -</t>
    </r>
    <r>
      <rPr>
        <sz val="12"/>
        <color rgb="FFFF9900"/>
        <rFont val="David"/>
        <family val="2"/>
      </rPr>
      <t>עלייה ב 20% בסט מדדי איכות השירות הנבחר ע"י תוכנית מדדי האיכות ברפואה בקהילה</t>
    </r>
  </si>
  <si>
    <r>
      <t xml:space="preserve">תקצוב התמחויות של 10 רופאים במקצועות </t>
    </r>
    <r>
      <rPr>
        <sz val="12"/>
        <color rgb="FFFF0000"/>
        <rFont val="David"/>
        <family val="2"/>
      </rPr>
      <t>ספציפיים</t>
    </r>
    <r>
      <rPr>
        <sz val="12"/>
        <color rgb="FF000000"/>
        <rFont val="David"/>
        <family val="2"/>
      </rPr>
      <t xml:space="preserve"> על-ידי מתן תמריץ לקופה"ח/בתי החולים</t>
    </r>
  </si>
  <si>
    <r>
      <t>יחס הרופאים והמטפלים לנפש יעלה ב 30%</t>
    </r>
    <r>
      <rPr>
        <b/>
        <sz val="12"/>
        <color rgb="FF000000"/>
        <rFont val="David"/>
        <family val="2"/>
      </rPr>
      <t xml:space="preserve">
</t>
    </r>
  </si>
  <si>
    <t xml:space="preserve">איתור מבנים ואפיון הצרכים הרפואיים ועלויות עבור הקמה של מכוני רפורה יועצת
</t>
  </si>
  <si>
    <t>עיריית ירושלים</t>
  </si>
  <si>
    <t>העסקת פרויקטור מומנה על יישום החלטת ממשלה880</t>
  </si>
  <si>
    <t>איתור מבנים לשכירות או בינוי, הקמת צוות, תפעול</t>
  </si>
  <si>
    <t>איתור מבנים לשכירות או בינוי (3 יחידות)+הקמת צוות, תפעול</t>
  </si>
  <si>
    <t>150 ₪ פיר מבוטח (העברת 20%)</t>
  </si>
  <si>
    <t>20 רופא*30,000 שכר לימוד לשנתיים*3 מחזורים</t>
  </si>
  <si>
    <r>
      <t xml:space="preserve">הגדלת מספר המבוטחים המקבלים שירותים ממרפאות בהפעלה ישירה </t>
    </r>
    <r>
      <rPr>
        <sz val="12"/>
        <color rgb="FFFF0000"/>
        <rFont val="David"/>
        <family val="2"/>
      </rPr>
      <t>(הקמת מבנה|העברה פר מבוטח)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</si>
</sst>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color rgb="FF000000"/>
      <name val="Arial"/>
      <scheme val="minor"/>
    </font>
    <font>
      <sz val="12"/>
      <color theme="1"/>
      <name val="Alef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sz val="12"/>
      <color rgb="FF000000"/>
      <name val="David"/>
      <family val="2"/>
    </font>
    <font>
      <sz val="12"/>
      <color rgb="FFFF0000"/>
      <name val="David"/>
      <family val="2"/>
    </font>
    <font>
      <sz val="10"/>
      <name val="David"/>
      <family val="2"/>
    </font>
    <font>
      <b/>
      <sz val="12"/>
      <color rgb="FF000000"/>
      <name val="David"/>
      <family val="2"/>
    </font>
    <font>
      <sz val="12"/>
      <color rgb="FFFF9900"/>
      <name val="David"/>
      <family val="2"/>
    </font>
    <font>
      <sz val="11"/>
      <color rgb="FF000000"/>
      <name val="David"/>
      <family val="2"/>
    </font>
    <font>
      <sz val="11"/>
      <color theme="1"/>
      <name val="David"/>
      <family val="2"/>
    </font>
    <font>
      <sz val="10"/>
      <color theme="1"/>
      <name val="David"/>
      <family val="2"/>
    </font>
    <font>
      <b/>
      <sz val="11"/>
      <color rgb="FF000000"/>
      <name val="Davi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0" fillId="0" borderId="6" xfId="0" applyFont="1" applyBorder="1" applyAlignment="1">
      <alignment horizontal="center"/>
    </xf>
    <xf numFmtId="3" fontId="11" fillId="0" borderId="6" xfId="0" applyNumberFormat="1" applyFont="1" applyBorder="1" applyAlignment="1">
      <alignment horizontal="center"/>
    </xf>
    <xf numFmtId="0" fontId="12" fillId="2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3" fontId="3" fillId="2" borderId="0" xfId="0" applyNumberFormat="1" applyFont="1" applyFill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wrapText="1"/>
    </xf>
    <xf numFmtId="0" fontId="10" fillId="2" borderId="7" xfId="0" applyFont="1" applyFill="1" applyBorder="1" applyAlignment="1">
      <alignment horizontal="center" wrapText="1"/>
    </xf>
    <xf numFmtId="0" fontId="9" fillId="2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0" borderId="7" xfId="0" applyFont="1" applyBorder="1"/>
    <xf numFmtId="0" fontId="9" fillId="0" borderId="7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6" fillId="0" borderId="5" xfId="0" applyFont="1" applyBorder="1"/>
    <xf numFmtId="0" fontId="6" fillId="0" borderId="3" xfId="0" applyFont="1" applyBorder="1"/>
    <xf numFmtId="3" fontId="3" fillId="0" borderId="2" xfId="0" applyNumberFormat="1" applyFont="1" applyFill="1" applyBorder="1" applyAlignment="1">
      <alignment horizontal="center" vertical="center" wrapText="1"/>
    </xf>
    <xf numFmtId="3" fontId="3" fillId="0" borderId="5" xfId="0" applyNumberFormat="1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rightToLeft="1" tabSelected="1" workbookViewId="0">
      <selection activeCell="D3" sqref="D3:D4"/>
    </sheetView>
  </sheetViews>
  <sheetFormatPr defaultColWidth="12.6328125" defaultRowHeight="15.75" customHeight="1"/>
  <cols>
    <col min="1" max="1" width="22" customWidth="1"/>
    <col min="2" max="2" width="24" customWidth="1"/>
    <col min="3" max="8" width="18.90625" customWidth="1"/>
    <col min="9" max="9" width="22.54296875" customWidth="1"/>
    <col min="10" max="10" width="30.6328125" customWidth="1"/>
    <col min="11" max="12" width="18.90625" customWidth="1"/>
  </cols>
  <sheetData>
    <row r="1" spans="1:26" ht="15.75" customHeight="1">
      <c r="A1" s="2" t="s">
        <v>0</v>
      </c>
      <c r="B1" s="2" t="s">
        <v>1</v>
      </c>
      <c r="C1" s="2" t="s">
        <v>2</v>
      </c>
      <c r="D1" s="2" t="s">
        <v>5</v>
      </c>
      <c r="E1" s="2" t="s">
        <v>6</v>
      </c>
      <c r="F1" s="2" t="s">
        <v>7</v>
      </c>
      <c r="G1" s="2" t="s">
        <v>8</v>
      </c>
      <c r="H1" s="20" t="s">
        <v>9</v>
      </c>
      <c r="I1" s="22" t="s">
        <v>3</v>
      </c>
      <c r="J1" s="22" t="s">
        <v>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ht="117.5" customHeight="1">
      <c r="A2" s="45" t="s">
        <v>10</v>
      </c>
      <c r="B2" s="2" t="s">
        <v>11</v>
      </c>
      <c r="C2" s="3" t="s">
        <v>61</v>
      </c>
      <c r="D2" s="4">
        <f>((100*400*12*5)*3+(3000000+5000000)*3)/1000</f>
        <v>31200</v>
      </c>
      <c r="E2" s="5" t="s">
        <v>13</v>
      </c>
      <c r="F2" s="3" t="s">
        <v>14</v>
      </c>
      <c r="G2" s="3" t="s">
        <v>15</v>
      </c>
      <c r="H2" s="8"/>
      <c r="I2" s="23" t="s">
        <v>12</v>
      </c>
      <c r="J2" s="23" t="s">
        <v>57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6" ht="56.5" customHeight="1">
      <c r="A3" s="40"/>
      <c r="B3" s="18" t="s">
        <v>16</v>
      </c>
      <c r="C3" s="19" t="s">
        <v>64</v>
      </c>
      <c r="D3" s="41">
        <v>31500</v>
      </c>
      <c r="E3" s="43" t="s">
        <v>13</v>
      </c>
      <c r="F3" s="7" t="s">
        <v>62</v>
      </c>
      <c r="G3" s="7" t="s">
        <v>14</v>
      </c>
      <c r="H3" s="8"/>
      <c r="I3" s="24" t="s">
        <v>17</v>
      </c>
      <c r="J3" s="24" t="s">
        <v>18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ht="59" customHeight="1">
      <c r="A4" s="39"/>
      <c r="B4" s="6" t="s">
        <v>19</v>
      </c>
      <c r="C4" s="5" t="s">
        <v>65</v>
      </c>
      <c r="D4" s="42"/>
      <c r="E4" s="44"/>
      <c r="F4" s="33" t="s">
        <v>62</v>
      </c>
      <c r="G4" s="33" t="s">
        <v>14</v>
      </c>
      <c r="H4" s="31"/>
      <c r="I4" s="25" t="s">
        <v>20</v>
      </c>
      <c r="J4" s="25" t="s">
        <v>18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6" ht="77" customHeight="1">
      <c r="A5" s="45" t="s">
        <v>21</v>
      </c>
      <c r="B5" s="46" t="s">
        <v>22</v>
      </c>
      <c r="C5" s="5" t="s">
        <v>23</v>
      </c>
      <c r="D5" s="21">
        <f>SUM(15000+28000+15000)*12*5*0.2*20/1000</f>
        <v>13920</v>
      </c>
      <c r="E5" s="23" t="s">
        <v>25</v>
      </c>
      <c r="F5" s="36"/>
      <c r="G5" s="36"/>
      <c r="H5" s="31"/>
      <c r="I5" s="23" t="s">
        <v>24</v>
      </c>
      <c r="J5" s="23" t="s">
        <v>58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6" ht="88.5" customHeight="1">
      <c r="A6" s="40"/>
      <c r="B6" s="39"/>
      <c r="C6" s="19" t="s">
        <v>68</v>
      </c>
      <c r="D6" s="32">
        <f>150*60000/1000</f>
        <v>9000</v>
      </c>
      <c r="E6" s="37" t="s">
        <v>66</v>
      </c>
      <c r="F6" s="36"/>
      <c r="G6" s="36"/>
      <c r="H6" s="31"/>
      <c r="I6" s="26" t="s">
        <v>26</v>
      </c>
      <c r="J6" s="26" t="s">
        <v>27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6" ht="56">
      <c r="A7" s="40"/>
      <c r="B7" s="40"/>
      <c r="C7" s="47" t="s">
        <v>29</v>
      </c>
      <c r="D7" s="5">
        <f>20*30000*3/1000</f>
        <v>1800</v>
      </c>
      <c r="E7" s="34" t="s">
        <v>67</v>
      </c>
      <c r="F7" s="35" t="s">
        <v>32</v>
      </c>
      <c r="G7" s="35"/>
      <c r="H7" s="21"/>
      <c r="I7" s="27" t="s">
        <v>30</v>
      </c>
      <c r="J7" s="23" t="s">
        <v>31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6" ht="15.75" customHeight="1">
      <c r="A8" s="40"/>
      <c r="B8" s="39"/>
      <c r="C8" s="39"/>
      <c r="D8" s="5">
        <f>(1000000*15)/1000</f>
        <v>15000</v>
      </c>
      <c r="E8" s="5" t="s">
        <v>33</v>
      </c>
      <c r="F8" s="3" t="s">
        <v>14</v>
      </c>
      <c r="G8" s="3" t="s">
        <v>34</v>
      </c>
      <c r="H8" s="21" t="s">
        <v>35</v>
      </c>
      <c r="I8" s="23" t="s">
        <v>59</v>
      </c>
      <c r="J8" s="23" t="s">
        <v>60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6" ht="84">
      <c r="A9" s="40"/>
      <c r="B9" s="40"/>
      <c r="C9" s="9" t="s">
        <v>36</v>
      </c>
      <c r="D9" s="10">
        <v>1000</v>
      </c>
      <c r="E9" s="10"/>
      <c r="F9" s="10" t="s">
        <v>14</v>
      </c>
      <c r="G9" s="11" t="s">
        <v>39</v>
      </c>
      <c r="H9" s="12" t="s">
        <v>40</v>
      </c>
      <c r="I9" s="28" t="s">
        <v>37</v>
      </c>
      <c r="J9" s="28" t="s">
        <v>38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6" ht="59.5" customHeight="1">
      <c r="A10" s="40"/>
      <c r="B10" s="39"/>
      <c r="C10" s="5" t="s">
        <v>41</v>
      </c>
      <c r="D10" s="3">
        <f>250000*5/1000</f>
        <v>1250</v>
      </c>
      <c r="E10" s="5" t="s">
        <v>44</v>
      </c>
      <c r="F10" s="3" t="s">
        <v>45</v>
      </c>
      <c r="G10" s="3" t="s">
        <v>46</v>
      </c>
      <c r="H10" s="8"/>
      <c r="I10" s="23" t="s">
        <v>42</v>
      </c>
      <c r="J10" s="23" t="s">
        <v>43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6" ht="26.5" customHeight="1">
      <c r="A11" s="38" t="s">
        <v>47</v>
      </c>
      <c r="B11" s="13" t="s">
        <v>48</v>
      </c>
      <c r="C11" s="14" t="s">
        <v>49</v>
      </c>
      <c r="D11" s="3" t="s">
        <v>28</v>
      </c>
      <c r="E11" s="3"/>
      <c r="F11" s="3"/>
      <c r="G11" s="3"/>
      <c r="H11" s="8"/>
      <c r="I11" s="29" t="s">
        <v>50</v>
      </c>
      <c r="J11" s="29" t="s">
        <v>51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6" ht="49" customHeight="1">
      <c r="A12" s="39"/>
      <c r="B12" s="15" t="s">
        <v>52</v>
      </c>
      <c r="C12" s="14" t="s">
        <v>63</v>
      </c>
      <c r="D12" s="14">
        <f>(20000*12*5)/1000</f>
        <v>1200</v>
      </c>
      <c r="E12" s="3" t="s">
        <v>55</v>
      </c>
      <c r="F12" s="3" t="s">
        <v>14</v>
      </c>
      <c r="G12" s="3" t="s">
        <v>56</v>
      </c>
      <c r="H12" s="8"/>
      <c r="I12" s="29" t="s">
        <v>53</v>
      </c>
      <c r="J12" s="29" t="s">
        <v>54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6" ht="15.75" customHeight="1">
      <c r="A13" s="16"/>
      <c r="B13" s="16"/>
      <c r="C13" s="16"/>
      <c r="D13" s="17">
        <f>SUM(D2:D12)</f>
        <v>105870</v>
      </c>
      <c r="E13" s="16"/>
      <c r="F13" s="16"/>
      <c r="G13" s="16"/>
      <c r="H13" s="16"/>
      <c r="I13" s="30"/>
      <c r="J13" s="30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6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6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9">
    <mergeCell ref="A11:A12"/>
    <mergeCell ref="B9:B10"/>
    <mergeCell ref="D3:D4"/>
    <mergeCell ref="E3:E4"/>
    <mergeCell ref="A2:A4"/>
    <mergeCell ref="B5:B6"/>
    <mergeCell ref="B7:B8"/>
    <mergeCell ref="C7:C8"/>
    <mergeCell ref="A5:A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halaa</dc:creator>
  <cp:lastModifiedBy>halaa</cp:lastModifiedBy>
  <dcterms:created xsi:type="dcterms:W3CDTF">2023-11-23T09:08:47Z</dcterms:created>
  <dcterms:modified xsi:type="dcterms:W3CDTF">2025-11-04T08:47:01Z</dcterms:modified>
</cp:coreProperties>
</file>